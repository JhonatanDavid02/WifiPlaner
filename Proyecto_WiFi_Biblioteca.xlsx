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" sheetId="1" r:id="rId5"/>
    <sheet state="visible" name="Cálculos" sheetId="2" r:id="rId6"/>
    <sheet state="visible" name="Resultados" sheetId="3" r:id="rId7"/>
  </sheets>
  <definedNames>
    <definedName name="RSSIobjetivo">Entradas!$B$12</definedName>
    <definedName name="Lm">Entradas!$B$10</definedName>
    <definedName name="Ptx">Entradas!$B$5</definedName>
    <definedName name="Ltx">Entradas!$B$8</definedName>
    <definedName name="Sensibilidad">Entradas!$B$11</definedName>
    <definedName name="Lrx">Entradas!$B$9</definedName>
    <definedName name="Grx">Entradas!$B$7</definedName>
    <definedName name="Gtx">Entradas!$B$6</definedName>
  </definedNames>
  <calcPr/>
</workbook>
</file>

<file path=xl/sharedStrings.xml><?xml version="1.0" encoding="utf-8"?>
<sst xmlns="http://schemas.openxmlformats.org/spreadsheetml/2006/main" count="108" uniqueCount="79">
  <si>
    <t>Hoja de Cálculos — FSPL, RSSI y SOM por banda y distancia de referencia</t>
  </si>
  <si>
    <t>PROYECTO: AUDITORÍA Y REDISEÑO DE RED WI-FI — BIBLIOTECA UNIVERSITARIA</t>
  </si>
  <si>
    <t>Hoja de Resultados — Resumen ejecutivo del diseño</t>
  </si>
  <si>
    <t>Fórmulas: FSPL(dB)=20*LOG10(d)+20*LOG10(f)-27.55   |   RSSI=Ptx+Gtx-Ltx-FSPL-Lm+Grx-Lrx   |   SOM=RSSI-Sensibilidad</t>
  </si>
  <si>
    <t>Hoja de Entradas — Parámetros base del presupuesto de enlace (metodología G2)</t>
  </si>
  <si>
    <t>Indicador</t>
  </si>
  <si>
    <t>Distancia (m)</t>
  </si>
  <si>
    <t>Parámetro</t>
  </si>
  <si>
    <t>Banda</t>
  </si>
  <si>
    <t>Valor</t>
  </si>
  <si>
    <t>Unidad</t>
  </si>
  <si>
    <t>Frecuencia (MHz)</t>
  </si>
  <si>
    <t>Origen / Justificación</t>
  </si>
  <si>
    <t>FSPL (dB)</t>
  </si>
  <si>
    <t>RSSI (dBm)</t>
  </si>
  <si>
    <t>Potencia de transmisión (P_tx)</t>
  </si>
  <si>
    <t>SOM (dB)</t>
  </si>
  <si>
    <t>Área total de referencia del plano (m²)</t>
  </si>
  <si>
    <t>Veredicto</t>
  </si>
  <si>
    <t>Cumple RSSI objetivo</t>
  </si>
  <si>
    <t>Número de Access Points diseñados</t>
  </si>
  <si>
    <t>Área total cubierta por los 4 AP (m²)</t>
  </si>
  <si>
    <t>2.4 GHz (Canal 6)</t>
  </si>
  <si>
    <t>dBm</t>
  </si>
  <si>
    <t>Potencia típica de AP empresarial en Colombia (G1, script de referencia)</t>
  </si>
  <si>
    <t>Ganancia antena Tx (G_tx)</t>
  </si>
  <si>
    <t>dBi</t>
  </si>
  <si>
    <t>Antena omnidireccional integrada; rango típico 2-5 dBi (G1, sección 1.4)</t>
  </si>
  <si>
    <t>Ganancia antena Rx (G_rx)</t>
  </si>
  <si>
    <t>SUPUESTO: antena típica de smartphone/laptop (dispositivo "menos capaz", LCD, G2 2.3)</t>
  </si>
  <si>
    <t>Pérdidas Tx (L_tx)</t>
  </si>
  <si>
    <t>dB</t>
  </si>
  <si>
    <t>SUPUESTO: pérdidas de conector internas del AP</t>
  </si>
  <si>
    <t>Pérdidas Rx (L_rx)</t>
  </si>
  <si>
    <t>SUPUESTO: pérdidas en el dispositivo cliente</t>
  </si>
  <si>
    <t>Margen de desvanecimiento (L_m)</t>
  </si>
  <si>
    <t>SUPUESTO: interior, clima seco, mínimo recomendado por G2 (sección 1.2: 10-20 dB)</t>
  </si>
  <si>
    <t>Sensibilidad del receptor</t>
  </si>
  <si>
    <t>Banda priorizada</t>
  </si>
  <si>
    <t>SUPUESTO: valor típico de referencia usado en el script de G2 (ej. -75 dBm)</t>
  </si>
  <si>
    <t>5 GHz (24 canales no solapados, mayor capacidad)</t>
  </si>
  <si>
    <t>RSSI objetivo mínimo</t>
  </si>
  <si>
    <t>Banda de respaldo / dispositivos legacy</t>
  </si>
  <si>
    <t>2.4 GHz</t>
  </si>
  <si>
    <t>Criterio G2/G3 para aplicaciones en tiempo real</t>
  </si>
  <si>
    <t>SOM mínimo obtenido en 5 GHz (peor caso, todos los AP)</t>
  </si>
  <si>
    <t>Frecuencia 2.4 GHz (Canal 6)</t>
  </si>
  <si>
    <t>MHz</t>
  </si>
  <si>
    <t>Plan de canales no solapados 1/6/11 (G1, sección 1.2)</t>
  </si>
  <si>
    <t>Frecuencia 5 GHz (Canal 36)</t>
  </si>
  <si>
    <t>Banda UNII-1, primer canal no solapado (G1, sección 1.2)</t>
  </si>
  <si>
    <t>Zonas de cobertura propuestas (distancia AP → punto más lejano de la zona)</t>
  </si>
  <si>
    <t>AP</t>
  </si>
  <si>
    <t>Zona cubierta</t>
  </si>
  <si>
    <t>Área (m²)</t>
  </si>
  <si>
    <t>Distancia máx. (m)</t>
  </si>
  <si>
    <t>Observación</t>
  </si>
  <si>
    <t>AP con enlace APROBADO en 5 GHz en el peor caso</t>
  </si>
  <si>
    <t>AP1</t>
  </si>
  <si>
    <t>Seguridad</t>
  </si>
  <si>
    <t>WPA3-Enterprise (802.1X / RADIUS / EAP)</t>
  </si>
  <si>
    <t>VLAN 10</t>
  </si>
  <si>
    <t>Personal Administrativo / Bibliotecario</t>
  </si>
  <si>
    <t>Entrada Principal + Sala Audiovisual</t>
  </si>
  <si>
    <t>VLAN 20</t>
  </si>
  <si>
    <t>Estudiantes y Docentes (usuarios de biblioteca)</t>
  </si>
  <si>
    <t>Nota: todas las celdas de valor son fórmulas vinculadas a las hojas Entradas y Cálculos.</t>
  </si>
  <si>
    <t>SUPUESTO: semidiagonal estimada a partir del área (relación 1.4:1)</t>
  </si>
  <si>
    <t>AP2</t>
  </si>
  <si>
    <t>Sala de Estudio Colaborativo + Zaguán</t>
  </si>
  <si>
    <t>SUPUESTO: semidiagonal estimada a partir del área</t>
  </si>
  <si>
    <t>AP3</t>
  </si>
  <si>
    <t>Atención/Circulación + Depósito + Informática + Sanitarios</t>
  </si>
  <si>
    <t>AP4</t>
  </si>
  <si>
    <t>Hemeroteca + Sala de Lectura</t>
  </si>
  <si>
    <t>5 GHz (Canal 36)</t>
  </si>
  <si>
    <t>DISEÑO FINAL POR PUNTO DE ACCESO (peor caso: distancia máxima de cada zona)</t>
  </si>
  <si>
    <t>Zona</t>
  </si>
  <si>
    <t>SOM (dB) / Veredicto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</si>
</sst>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1F4E78"/>
      <name val="Arial"/>
    </font>
    <font>
      <i/>
      <sz val="9.0"/>
      <color theme="1"/>
      <name val="Arial"/>
    </font>
    <font>
      <i/>
      <sz val="10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sz val="11.0"/>
      <color rgb="FF0000FF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shrinkToFit="0" vertical="bottom" wrapText="0"/>
    </xf>
    <xf borderId="1" fillId="3" fontId="6" numFmtId="0" xfId="0" applyAlignment="1" applyBorder="1" applyFill="1" applyFont="1">
      <alignment horizontal="center" shrinkToFit="0" vertical="bottom" wrapText="0"/>
    </xf>
    <xf borderId="1" fillId="3" fontId="6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0" fontId="5" numFmtId="0" xfId="0" applyAlignment="1" applyBorder="1" applyFont="1">
      <alignment shrinkToFit="0" vertical="center" wrapText="1"/>
    </xf>
    <xf borderId="1" fillId="3" fontId="6" numFmtId="0" xfId="0" applyAlignment="1" applyBorder="1" applyFill="1" applyFont="1">
      <alignment shrinkToFit="0" vertical="center" wrapText="1"/>
    </xf>
    <xf borderId="1" fillId="0" fontId="5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33.43"/>
    <col customWidth="1" min="3" max="3" width="10.0"/>
    <col customWidth="1" min="4" max="4" width="70.43"/>
    <col customWidth="1" min="5" max="5" width="47.86"/>
    <col customWidth="1" min="6" max="26" width="8.71"/>
  </cols>
  <sheetData>
    <row r="1">
      <c r="A1" s="1" t="s">
        <v>1</v>
      </c>
    </row>
    <row r="2">
      <c r="A2" s="3" t="s">
        <v>4</v>
      </c>
    </row>
    <row r="4">
      <c r="A4" s="4" t="s">
        <v>7</v>
      </c>
      <c r="B4" s="4" t="s">
        <v>9</v>
      </c>
      <c r="C4" s="4" t="s">
        <v>10</v>
      </c>
      <c r="D4" s="4" t="s">
        <v>12</v>
      </c>
    </row>
    <row r="5">
      <c r="A5" s="5" t="s">
        <v>15</v>
      </c>
      <c r="B5" s="7">
        <v>20.0</v>
      </c>
      <c r="C5" s="5" t="s">
        <v>23</v>
      </c>
      <c r="D5" s="9" t="s">
        <v>24</v>
      </c>
    </row>
    <row r="6">
      <c r="A6" s="5" t="s">
        <v>25</v>
      </c>
      <c r="B6" s="7">
        <v>3.0</v>
      </c>
      <c r="C6" s="5" t="s">
        <v>26</v>
      </c>
      <c r="D6" s="9" t="s">
        <v>27</v>
      </c>
    </row>
    <row r="7">
      <c r="A7" s="5" t="s">
        <v>28</v>
      </c>
      <c r="B7" s="7">
        <v>0.0</v>
      </c>
      <c r="C7" s="5" t="s">
        <v>26</v>
      </c>
      <c r="D7" s="9" t="s">
        <v>29</v>
      </c>
    </row>
    <row r="8">
      <c r="A8" s="5" t="s">
        <v>30</v>
      </c>
      <c r="B8" s="7">
        <v>1.0</v>
      </c>
      <c r="C8" s="5" t="s">
        <v>31</v>
      </c>
      <c r="D8" s="9" t="s">
        <v>32</v>
      </c>
    </row>
    <row r="9">
      <c r="A9" s="5" t="s">
        <v>33</v>
      </c>
      <c r="B9" s="7">
        <v>1.0</v>
      </c>
      <c r="C9" s="5" t="s">
        <v>31</v>
      </c>
      <c r="D9" s="9" t="s">
        <v>34</v>
      </c>
    </row>
    <row r="10">
      <c r="A10" s="5" t="s">
        <v>35</v>
      </c>
      <c r="B10" s="7">
        <v>10.0</v>
      </c>
      <c r="C10" s="5" t="s">
        <v>31</v>
      </c>
      <c r="D10" s="9" t="s">
        <v>36</v>
      </c>
    </row>
    <row r="11">
      <c r="A11" s="5" t="s">
        <v>37</v>
      </c>
      <c r="B11" s="7">
        <v>-75.0</v>
      </c>
      <c r="C11" s="5" t="s">
        <v>23</v>
      </c>
      <c r="D11" s="9" t="s">
        <v>39</v>
      </c>
    </row>
    <row r="12">
      <c r="A12" s="5" t="s">
        <v>41</v>
      </c>
      <c r="B12" s="7">
        <v>-67.0</v>
      </c>
      <c r="C12" s="5" t="s">
        <v>23</v>
      </c>
      <c r="D12" s="9" t="s">
        <v>44</v>
      </c>
    </row>
    <row r="13">
      <c r="A13" s="5" t="s">
        <v>46</v>
      </c>
      <c r="B13" s="7">
        <v>2437.0</v>
      </c>
      <c r="C13" s="5" t="s">
        <v>47</v>
      </c>
      <c r="D13" s="9" t="s">
        <v>48</v>
      </c>
    </row>
    <row r="14">
      <c r="A14" s="5" t="s">
        <v>49</v>
      </c>
      <c r="B14" s="7">
        <v>5180.0</v>
      </c>
      <c r="C14" s="5" t="s">
        <v>47</v>
      </c>
      <c r="D14" s="9" t="s">
        <v>50</v>
      </c>
    </row>
    <row r="17">
      <c r="A17" s="10" t="s">
        <v>51</v>
      </c>
    </row>
    <row r="18">
      <c r="A18" s="4" t="s">
        <v>52</v>
      </c>
      <c r="B18" s="4" t="s">
        <v>53</v>
      </c>
      <c r="C18" s="4" t="s">
        <v>54</v>
      </c>
      <c r="D18" s="4" t="s">
        <v>55</v>
      </c>
      <c r="E18" s="4" t="s">
        <v>56</v>
      </c>
    </row>
    <row r="19" ht="30.0" customHeight="1">
      <c r="A19" s="11" t="s">
        <v>58</v>
      </c>
      <c r="B19" s="11" t="s">
        <v>63</v>
      </c>
      <c r="C19" s="12">
        <v>27.28</v>
      </c>
      <c r="D19" s="12">
        <v>3.8</v>
      </c>
      <c r="E19" s="11" t="s">
        <v>67</v>
      </c>
    </row>
    <row r="20" ht="30.0" customHeight="1">
      <c r="A20" s="11" t="s">
        <v>68</v>
      </c>
      <c r="B20" s="11" t="s">
        <v>69</v>
      </c>
      <c r="C20" s="12">
        <v>45.09</v>
      </c>
      <c r="D20" s="12">
        <v>4.88</v>
      </c>
      <c r="E20" s="11" t="s">
        <v>70</v>
      </c>
    </row>
    <row r="21" ht="30.0" customHeight="1">
      <c r="A21" s="11" t="s">
        <v>71</v>
      </c>
      <c r="B21" s="11" t="s">
        <v>72</v>
      </c>
      <c r="C21" s="12">
        <v>55.65</v>
      </c>
      <c r="D21" s="12">
        <v>5.42</v>
      </c>
      <c r="E21" s="11" t="s">
        <v>70</v>
      </c>
    </row>
    <row r="22" ht="30.0" customHeight="1">
      <c r="A22" s="11" t="s">
        <v>73</v>
      </c>
      <c r="B22" s="11" t="s">
        <v>74</v>
      </c>
      <c r="C22" s="12">
        <v>58.85</v>
      </c>
      <c r="D22" s="12">
        <v>5.58</v>
      </c>
      <c r="E22" s="11" t="s">
        <v>70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17:E1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0.0"/>
    <col customWidth="1" min="3" max="3" width="15.0"/>
    <col customWidth="1" min="4" max="5" width="11.0"/>
    <col customWidth="1" min="6" max="6" width="10.0"/>
    <col customWidth="1" min="7" max="7" width="12.0"/>
    <col customWidth="1" min="8" max="8" width="18.0"/>
    <col customWidth="1" min="9" max="26" width="8.71"/>
  </cols>
  <sheetData>
    <row r="1">
      <c r="A1" s="1" t="s">
        <v>0</v>
      </c>
    </row>
    <row r="2">
      <c r="A2" s="2" t="s">
        <v>3</v>
      </c>
    </row>
    <row r="4">
      <c r="A4" s="4" t="s">
        <v>6</v>
      </c>
      <c r="B4" s="4" t="s">
        <v>8</v>
      </c>
      <c r="C4" s="4" t="s">
        <v>11</v>
      </c>
      <c r="D4" s="4" t="s">
        <v>13</v>
      </c>
      <c r="E4" s="4" t="s">
        <v>14</v>
      </c>
      <c r="F4" s="4" t="s">
        <v>16</v>
      </c>
      <c r="G4" s="4" t="s">
        <v>18</v>
      </c>
      <c r="H4" s="4" t="s">
        <v>19</v>
      </c>
    </row>
    <row r="5">
      <c r="A5" s="6">
        <v>5.0</v>
      </c>
      <c r="B5" s="8" t="s">
        <v>22</v>
      </c>
      <c r="C5" s="8" t="str">
        <f>F24</f>
        <v>#REF!</v>
      </c>
      <c r="D5" s="8" t="str">
        <f t="shared" ref="D5:D12" si="1">20*LOG10(A5)+20*LOG10(C5)-27.55</f>
        <v>#REF!</v>
      </c>
      <c r="E5" s="8" t="str">
        <f>Ptx+Gtx-Ltx-D5-Lm+Grx-Lrx</f>
        <v>#REF!</v>
      </c>
      <c r="F5" s="8" t="str">
        <f>E5-Sensibilidad</f>
        <v>#REF!</v>
      </c>
      <c r="G5" s="8" t="str">
        <f t="shared" ref="G5:G12" si="2">IF(F5&lt;10,"FALLIDO",IF(F5&lt;20,"RIESGO","APROBADO"))</f>
        <v>#REF!</v>
      </c>
      <c r="H5" s="8" t="str">
        <f>IF(E5&gt;RSSIobjetivo,"SI","NO")</f>
        <v>#REF!</v>
      </c>
    </row>
    <row r="6">
      <c r="A6" s="6">
        <v>5.0</v>
      </c>
      <c r="B6" s="8" t="s">
        <v>75</v>
      </c>
      <c r="C6" s="8" t="str">
        <f>F5</f>
        <v>#REF!</v>
      </c>
      <c r="D6" s="8" t="str">
        <f t="shared" si="1"/>
        <v>#REF!</v>
      </c>
      <c r="E6" s="8" t="str">
        <f>Ptx+Gtx-Ltx-D6-Lm+Grx-Lrx</f>
        <v>#REF!</v>
      </c>
      <c r="F6" s="8" t="str">
        <f>E6-Sensibilidad</f>
        <v>#REF!</v>
      </c>
      <c r="G6" s="8" t="str">
        <f t="shared" si="2"/>
        <v>#REF!</v>
      </c>
      <c r="H6" s="8" t="str">
        <f>IF(E6&gt;RSSIobjetivo,"SI","NO")</f>
        <v>#REF!</v>
      </c>
    </row>
    <row r="7">
      <c r="A7" s="6">
        <v>10.0</v>
      </c>
      <c r="B7" s="8" t="s">
        <v>22</v>
      </c>
      <c r="C7" s="8" t="str">
        <f>F24</f>
        <v>#REF!</v>
      </c>
      <c r="D7" s="8" t="str">
        <f t="shared" si="1"/>
        <v>#REF!</v>
      </c>
      <c r="E7" s="8" t="str">
        <f>Ptx+Gtx-Ltx-D7-Lm+Grx-Lrx</f>
        <v>#REF!</v>
      </c>
      <c r="F7" s="8" t="str">
        <f>E7-Sensibilidad</f>
        <v>#REF!</v>
      </c>
      <c r="G7" s="8" t="str">
        <f t="shared" si="2"/>
        <v>#REF!</v>
      </c>
      <c r="H7" s="8" t="str">
        <f>IF(E7&gt;RSSIobjetivo,"SI","NO")</f>
        <v>#REF!</v>
      </c>
    </row>
    <row r="8">
      <c r="A8" s="6">
        <v>10.0</v>
      </c>
      <c r="B8" s="8" t="s">
        <v>75</v>
      </c>
      <c r="C8" s="8" t="str">
        <f>F5</f>
        <v>#REF!</v>
      </c>
      <c r="D8" s="8" t="str">
        <f t="shared" si="1"/>
        <v>#REF!</v>
      </c>
      <c r="E8" s="8" t="str">
        <f>Ptx+Gtx-Ltx-D8-Lm+Grx-Lrx</f>
        <v>#REF!</v>
      </c>
      <c r="F8" s="8" t="str">
        <f>E8-Sensibilidad</f>
        <v>#REF!</v>
      </c>
      <c r="G8" s="8" t="str">
        <f t="shared" si="2"/>
        <v>#REF!</v>
      </c>
      <c r="H8" s="8" t="str">
        <f>IF(E8&gt;RSSIobjetivo,"SI","NO")</f>
        <v>#REF!</v>
      </c>
    </row>
    <row r="9">
      <c r="A9" s="6">
        <v>15.0</v>
      </c>
      <c r="B9" s="8" t="s">
        <v>22</v>
      </c>
      <c r="C9" s="8" t="str">
        <f>F24</f>
        <v>#REF!</v>
      </c>
      <c r="D9" s="8" t="str">
        <f t="shared" si="1"/>
        <v>#REF!</v>
      </c>
      <c r="E9" s="8" t="str">
        <f>Ptx+Gtx-Ltx-D9-Lm+Grx-Lrx</f>
        <v>#REF!</v>
      </c>
      <c r="F9" s="8" t="str">
        <f>E9-Sensibilidad</f>
        <v>#REF!</v>
      </c>
      <c r="G9" s="8" t="str">
        <f t="shared" si="2"/>
        <v>#REF!</v>
      </c>
      <c r="H9" s="8" t="str">
        <f>IF(E9&gt;RSSIobjetivo,"SI","NO")</f>
        <v>#REF!</v>
      </c>
    </row>
    <row r="10">
      <c r="A10" s="6">
        <v>15.0</v>
      </c>
      <c r="B10" s="8" t="s">
        <v>75</v>
      </c>
      <c r="C10" s="8" t="str">
        <f>F5</f>
        <v>#REF!</v>
      </c>
      <c r="D10" s="8" t="str">
        <f t="shared" si="1"/>
        <v>#REF!</v>
      </c>
      <c r="E10" s="8" t="str">
        <f>Ptx+Gtx-Ltx-D10-Lm+Grx-Lrx</f>
        <v>#REF!</v>
      </c>
      <c r="F10" s="8" t="str">
        <f>E10-Sensibilidad</f>
        <v>#REF!</v>
      </c>
      <c r="G10" s="8" t="str">
        <f t="shared" si="2"/>
        <v>#REF!</v>
      </c>
      <c r="H10" s="8" t="str">
        <f>IF(E10&gt;RSSIobjetivo,"SI","NO")</f>
        <v>#REF!</v>
      </c>
    </row>
    <row r="11">
      <c r="A11" s="6">
        <v>20.0</v>
      </c>
      <c r="B11" s="8" t="s">
        <v>22</v>
      </c>
      <c r="C11" s="8" t="str">
        <f>F24</f>
        <v>#REF!</v>
      </c>
      <c r="D11" s="8" t="str">
        <f t="shared" si="1"/>
        <v>#REF!</v>
      </c>
      <c r="E11" s="8" t="str">
        <f>Ptx+Gtx-Ltx-D11-Lm+Grx-Lrx</f>
        <v>#REF!</v>
      </c>
      <c r="F11" s="8" t="str">
        <f>E11-Sensibilidad</f>
        <v>#REF!</v>
      </c>
      <c r="G11" s="8" t="str">
        <f t="shared" si="2"/>
        <v>#REF!</v>
      </c>
      <c r="H11" s="8" t="str">
        <f>IF(E11&gt;RSSIobjetivo,"SI","NO")</f>
        <v>#REF!</v>
      </c>
    </row>
    <row r="12">
      <c r="A12" s="6">
        <v>20.0</v>
      </c>
      <c r="B12" s="8" t="s">
        <v>75</v>
      </c>
      <c r="C12" s="8" t="str">
        <f>F5</f>
        <v>#REF!</v>
      </c>
      <c r="D12" s="8" t="str">
        <f t="shared" si="1"/>
        <v>#REF!</v>
      </c>
      <c r="E12" s="8" t="str">
        <f>Ptx+Gtx-Ltx-D12-Lm+Grx-Lrx</f>
        <v>#REF!</v>
      </c>
      <c r="F12" s="8" t="str">
        <f>E12-Sensibilidad</f>
        <v>#REF!</v>
      </c>
      <c r="G12" s="8" t="str">
        <f t="shared" si="2"/>
        <v>#REF!</v>
      </c>
      <c r="H12" s="8" t="str">
        <f>IF(E12&gt;RSSIobjetivo,"SI","NO")</f>
        <v>#REF!</v>
      </c>
    </row>
    <row r="15">
      <c r="A15" s="10" t="s">
        <v>76</v>
      </c>
    </row>
    <row r="16">
      <c r="A16" s="4" t="s">
        <v>52</v>
      </c>
      <c r="B16" s="4" t="s">
        <v>77</v>
      </c>
      <c r="C16" s="4" t="s">
        <v>55</v>
      </c>
      <c r="D16" s="4" t="s">
        <v>8</v>
      </c>
      <c r="E16" s="4" t="s">
        <v>11</v>
      </c>
      <c r="F16" s="4" t="s">
        <v>13</v>
      </c>
      <c r="G16" s="4" t="s">
        <v>14</v>
      </c>
      <c r="H16" s="4" t="s">
        <v>78</v>
      </c>
    </row>
    <row r="17">
      <c r="A17" s="13" t="str">
        <f>Entradas!A19</f>
        <v>AP1</v>
      </c>
      <c r="B17" s="13" t="str">
        <f>Entradas!B19</f>
        <v>Entrada Principal + Sala Audiovisual</v>
      </c>
      <c r="C17" s="13">
        <f>Entradas!D19</f>
        <v>3.8</v>
      </c>
      <c r="D17" s="13" t="s">
        <v>22</v>
      </c>
      <c r="E17" s="13" t="str">
        <f>F24</f>
        <v>#REF!</v>
      </c>
      <c r="F17" s="13" t="str">
        <f t="shared" ref="F17:F24" si="3">20*LOG10(C17)+20*LOG10(E17)-27.55</f>
        <v>#REF!</v>
      </c>
      <c r="G17" s="13" t="str">
        <f>Ptx+Gtx-Ltx-F17-Lm+Grx-Lrx</f>
        <v>#REF!</v>
      </c>
      <c r="H17" s="13" t="str">
        <f>G17-Sensibilidad&amp;" / "&amp;IF(G17-Sensibilidad&lt;10,"FALLIDO",IF(G17-Sensibilidad&lt;20,"RIESGO","APROBADO"))</f>
        <v>#REF!</v>
      </c>
    </row>
    <row r="18">
      <c r="A18" s="13" t="str">
        <f>Entradas!A19</f>
        <v>AP1</v>
      </c>
      <c r="B18" s="13" t="str">
        <f>Entradas!B19</f>
        <v>Entrada Principal + Sala Audiovisual</v>
      </c>
      <c r="C18" s="13">
        <f>Entradas!D19</f>
        <v>3.8</v>
      </c>
      <c r="D18" s="13" t="s">
        <v>75</v>
      </c>
      <c r="E18" s="13" t="str">
        <f>F5</f>
        <v>#REF!</v>
      </c>
      <c r="F18" s="13" t="str">
        <f t="shared" si="3"/>
        <v>#REF!</v>
      </c>
      <c r="G18" s="13" t="str">
        <f>Ptx+Gtx-Ltx-F18-Lm+Grx-Lrx</f>
        <v>#REF!</v>
      </c>
      <c r="H18" s="13" t="str">
        <f>G18-Sensibilidad&amp;" / "&amp;IF(G18-Sensibilidad&lt;10,"FALLIDO",IF(G18-Sensibilidad&lt;20,"RIESGO","APROBADO"))</f>
        <v>#REF!</v>
      </c>
    </row>
    <row r="19">
      <c r="A19" s="13" t="str">
        <f>Entradas!A20</f>
        <v>AP2</v>
      </c>
      <c r="B19" s="13" t="str">
        <f>Entradas!B20</f>
        <v>Sala de Estudio Colaborativo + Zaguán</v>
      </c>
      <c r="C19" s="13">
        <f>Entradas!D20</f>
        <v>4.88</v>
      </c>
      <c r="D19" s="13" t="s">
        <v>22</v>
      </c>
      <c r="E19" s="13" t="str">
        <f>F24</f>
        <v>#REF!</v>
      </c>
      <c r="F19" s="13" t="str">
        <f t="shared" si="3"/>
        <v>#REF!</v>
      </c>
      <c r="G19" s="13" t="str">
        <f>Ptx+Gtx-Ltx-F19-Lm+Grx-Lrx</f>
        <v>#REF!</v>
      </c>
      <c r="H19" s="13" t="str">
        <f>G19-Sensibilidad&amp;" / "&amp;IF(G19-Sensibilidad&lt;10,"FALLIDO",IF(G19-Sensibilidad&lt;20,"RIESGO","APROBADO"))</f>
        <v>#REF!</v>
      </c>
    </row>
    <row r="20">
      <c r="A20" s="13" t="str">
        <f>Entradas!A20</f>
        <v>AP2</v>
      </c>
      <c r="B20" s="13" t="str">
        <f>Entradas!B20</f>
        <v>Sala de Estudio Colaborativo + Zaguán</v>
      </c>
      <c r="C20" s="13">
        <f>Entradas!D20</f>
        <v>4.88</v>
      </c>
      <c r="D20" s="13" t="s">
        <v>75</v>
      </c>
      <c r="E20" s="13" t="str">
        <f>F5</f>
        <v>#REF!</v>
      </c>
      <c r="F20" s="13" t="str">
        <f t="shared" si="3"/>
        <v>#REF!</v>
      </c>
      <c r="G20" s="13" t="str">
        <f>Ptx+Gtx-Ltx-F20-Lm+Grx-Lrx</f>
        <v>#REF!</v>
      </c>
      <c r="H20" s="13" t="str">
        <f>G20-Sensibilidad&amp;" / "&amp;IF(G20-Sensibilidad&lt;10,"FALLIDO",IF(G20-Sensibilidad&lt;20,"RIESGO","APROBADO"))</f>
        <v>#REF!</v>
      </c>
    </row>
    <row r="21" ht="15.75" customHeight="1">
      <c r="A21" s="13" t="str">
        <f>Entradas!A21</f>
        <v>AP3</v>
      </c>
      <c r="B21" s="13" t="str">
        <f>Entradas!B21</f>
        <v>Atención/Circulación + Depósito + Informática + Sanitarios</v>
      </c>
      <c r="C21" s="13">
        <f>Entradas!D21</f>
        <v>5.42</v>
      </c>
      <c r="D21" s="13" t="s">
        <v>22</v>
      </c>
      <c r="E21" s="13" t="str">
        <f>F24</f>
        <v>#REF!</v>
      </c>
      <c r="F21" s="13" t="str">
        <f t="shared" si="3"/>
        <v>#REF!</v>
      </c>
      <c r="G21" s="13" t="str">
        <f>Ptx+Gtx-Ltx-F21-Lm+Grx-Lrx</f>
        <v>#REF!</v>
      </c>
      <c r="H21" s="13" t="str">
        <f>G21-Sensibilidad&amp;" / "&amp;IF(G21-Sensibilidad&lt;10,"FALLIDO",IF(G21-Sensibilidad&lt;20,"RIESGO","APROBADO"))</f>
        <v>#REF!</v>
      </c>
    </row>
    <row r="22" ht="15.75" customHeight="1">
      <c r="A22" s="13" t="str">
        <f>Entradas!A21</f>
        <v>AP3</v>
      </c>
      <c r="B22" s="13" t="str">
        <f>Entradas!B21</f>
        <v>Atención/Circulación + Depósito + Informática + Sanitarios</v>
      </c>
      <c r="C22" s="13">
        <f>Entradas!D21</f>
        <v>5.42</v>
      </c>
      <c r="D22" s="13" t="s">
        <v>75</v>
      </c>
      <c r="E22" s="13" t="str">
        <f>F5</f>
        <v>#REF!</v>
      </c>
      <c r="F22" s="13" t="str">
        <f t="shared" si="3"/>
        <v>#REF!</v>
      </c>
      <c r="G22" s="13" t="str">
        <f>Ptx+Gtx-Ltx-F22-Lm+Grx-Lrx</f>
        <v>#REF!</v>
      </c>
      <c r="H22" s="13" t="str">
        <f>G22-Sensibilidad&amp;" / "&amp;IF(G22-Sensibilidad&lt;10,"FALLIDO",IF(G22-Sensibilidad&lt;20,"RIESGO","APROBADO"))</f>
        <v>#REF!</v>
      </c>
    </row>
    <row r="23" ht="15.75" customHeight="1">
      <c r="A23" s="13" t="str">
        <f>Entradas!A22</f>
        <v>AP4</v>
      </c>
      <c r="B23" s="13" t="str">
        <f>Entradas!B22</f>
        <v>Hemeroteca + Sala de Lectura</v>
      </c>
      <c r="C23" s="13">
        <f>Entradas!D22</f>
        <v>5.58</v>
      </c>
      <c r="D23" s="13" t="s">
        <v>22</v>
      </c>
      <c r="E23" s="13" t="str">
        <f>F24</f>
        <v>#REF!</v>
      </c>
      <c r="F23" s="13" t="str">
        <f t="shared" si="3"/>
        <v>#REF!</v>
      </c>
      <c r="G23" s="13" t="str">
        <f>Ptx+Gtx-Ltx-F23-Lm+Grx-Lrx</f>
        <v>#REF!</v>
      </c>
      <c r="H23" s="13" t="str">
        <f>G23-Sensibilidad&amp;" / "&amp;IF(G23-Sensibilidad&lt;10,"FALLIDO",IF(G23-Sensibilidad&lt;20,"RIESGO","APROBADO"))</f>
        <v>#REF!</v>
      </c>
    </row>
    <row r="24" ht="15.75" customHeight="1">
      <c r="A24" s="13" t="str">
        <f>Entradas!A22</f>
        <v>AP4</v>
      </c>
      <c r="B24" s="13" t="str">
        <f>Entradas!B22</f>
        <v>Hemeroteca + Sala de Lectura</v>
      </c>
      <c r="C24" s="13">
        <f>Entradas!D22</f>
        <v>5.58</v>
      </c>
      <c r="D24" s="13" t="s">
        <v>75</v>
      </c>
      <c r="E24" s="13" t="str">
        <f>F5</f>
        <v>#REF!</v>
      </c>
      <c r="F24" s="13" t="str">
        <f t="shared" si="3"/>
        <v>#REF!</v>
      </c>
      <c r="G24" s="13" t="str">
        <f>Ptx+Gtx-Ltx-F24-Lm+Grx-Lrx</f>
        <v>#REF!</v>
      </c>
      <c r="H24" s="13" t="str">
        <f>G24-Sensibilidad&amp;" / "&amp;IF(G24-Sensibilidad&lt;10,"FALLIDO",IF(G24-Sensibilidad&lt;20,"RIESGO","APROBADO"))</f>
        <v>#REF!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15:H1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2" width="46.0"/>
    <col customWidth="1" min="3" max="26" width="8.71"/>
  </cols>
  <sheetData>
    <row r="1">
      <c r="A1" s="1" t="s">
        <v>2</v>
      </c>
    </row>
    <row r="3">
      <c r="A3" s="4" t="s">
        <v>5</v>
      </c>
      <c r="B3" s="4" t="s">
        <v>9</v>
      </c>
    </row>
    <row r="4">
      <c r="A4" s="5" t="s">
        <v>17</v>
      </c>
      <c r="B4" s="5">
        <v>186.87</v>
      </c>
    </row>
    <row r="5">
      <c r="A5" s="5" t="s">
        <v>20</v>
      </c>
      <c r="B5" s="5">
        <v>4.0</v>
      </c>
    </row>
    <row r="6">
      <c r="A6" s="5" t="s">
        <v>21</v>
      </c>
      <c r="B6" s="5">
        <f>SUM(Entradas!C19:C22)</f>
        <v>186.87</v>
      </c>
    </row>
    <row r="7">
      <c r="A7" s="5" t="s">
        <v>38</v>
      </c>
      <c r="B7" s="5" t="s">
        <v>40</v>
      </c>
    </row>
    <row r="8">
      <c r="A8" s="5" t="s">
        <v>42</v>
      </c>
      <c r="B8" s="5" t="s">
        <v>43</v>
      </c>
    </row>
    <row r="9">
      <c r="A9" s="5" t="s">
        <v>45</v>
      </c>
      <c r="B9" s="5" t="str">
        <f>MIN('Cálculos'!G17:G24)-Sensibilidad</f>
        <v>#REF!</v>
      </c>
    </row>
    <row r="10">
      <c r="A10" s="5" t="s">
        <v>57</v>
      </c>
      <c r="B10" s="5">
        <v>4.0</v>
      </c>
    </row>
    <row r="11">
      <c r="A11" s="5" t="s">
        <v>59</v>
      </c>
      <c r="B11" s="5" t="s">
        <v>60</v>
      </c>
    </row>
    <row r="12">
      <c r="A12" s="5" t="s">
        <v>61</v>
      </c>
      <c r="B12" s="5" t="s">
        <v>62</v>
      </c>
    </row>
    <row r="13">
      <c r="A13" s="5" t="s">
        <v>64</v>
      </c>
      <c r="B13" s="5" t="s">
        <v>65</v>
      </c>
    </row>
    <row r="15">
      <c r="A15" s="2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15:B15"/>
  </mergeCells>
  <printOptions/>
  <pageMargins bottom="1.0" footer="0.0" header="0.0" left="0.75" right="0.75" top="1.0"/>
  <pageSetup paperSize="9" orientation="portrait"/>
  <drawing r:id="rId1"/>
</worksheet>
</file>